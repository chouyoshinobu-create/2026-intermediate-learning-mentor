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https://d.docs.live.net/56c0cc265fef7f12/02其他工作/02王可樂日語/2026中級學習導師專案/"/>
    </mc:Choice>
  </mc:AlternateContent>
  <xr:revisionPtr revIDLastSave="230" documentId="13_ncr:1_{48017CD3-3628-418F-BFB0-AE4086AB3CC8}" xr6:coauthVersionLast="47" xr6:coauthVersionMax="47" xr10:uidLastSave="{6860DAED-BBAF-924E-B3BC-AC52A45203FC}"/>
  <bookViews>
    <workbookView xWindow="0" yWindow="0" windowWidth="28800" windowHeight="18000" xr2:uid="{00000000-000D-0000-FFFF-FFFF00000000}"/>
  </bookViews>
  <sheets>
    <sheet name="預計製作內容規劃及報價" sheetId="2" r:id="rId1"/>
    <sheet name="製作期程規畫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2" i="4"/>
  <c r="E2" i="2"/>
  <c r="E3" i="2"/>
  <c r="F3" i="2" s="1"/>
  <c r="F2" i="2" l="1"/>
  <c r="D4" i="2" s="1"/>
</calcChain>
</file>

<file path=xl/sharedStrings.xml><?xml version="1.0" encoding="utf-8"?>
<sst xmlns="http://schemas.openxmlformats.org/spreadsheetml/2006/main" count="21" uniqueCount="19">
  <si>
    <t>時薪</t>
    <phoneticPr fontId="1"/>
  </si>
  <si>
    <t>預計花費天數</t>
    <phoneticPr fontId="1"/>
  </si>
  <si>
    <t>預計開始日期</t>
    <phoneticPr fontId="1"/>
  </si>
  <si>
    <t>預計交期</t>
    <phoneticPr fontId="1"/>
  </si>
  <si>
    <t>序</t>
    <phoneticPr fontId="1"/>
  </si>
  <si>
    <t>內容</t>
    <phoneticPr fontId="1"/>
  </si>
  <si>
    <t>說明</t>
    <phoneticPr fontId="1"/>
  </si>
  <si>
    <t>題目數</t>
    <phoneticPr fontId="1"/>
  </si>
  <si>
    <t>序號</t>
    <phoneticPr fontId="1"/>
  </si>
  <si>
    <t>項目</t>
    <phoneticPr fontId="1"/>
  </si>
  <si>
    <t>換算小時</t>
    <phoneticPr fontId="1"/>
  </si>
  <si>
    <t>預估每題平均須時(分鐘)</t>
    <phoneticPr fontId="1"/>
  </si>
  <si>
    <t>共需時間(分鐘)</t>
    <phoneticPr fontId="1"/>
  </si>
  <si>
    <t>合計費用</t>
    <phoneticPr fontId="1"/>
  </si>
  <si>
    <t>備註 :</t>
    <phoneticPr fontId="1"/>
  </si>
  <si>
    <t>中級學習導師測驗題目出處標注</t>
    <rPh sb="0" eb="1">
      <t>ㄓㄨㄥ</t>
    </rPh>
    <rPh sb="6" eb="8">
      <t>ㄘㄜ</t>
    </rPh>
    <rPh sb="8" eb="10">
      <t>ㄊㄧ</t>
    </rPh>
    <rPh sb="10" eb="14">
      <t>ㄔㄨ</t>
    </rPh>
    <phoneticPr fontId="1"/>
  </si>
  <si>
    <t>初級學習導師線上評量詳解_前測</t>
    <rPh sb="13" eb="14">
      <t>ㄑㄧㄢ</t>
    </rPh>
    <rPh sb="14" eb="15">
      <t>ㄘㄜ</t>
    </rPh>
    <phoneticPr fontId="1"/>
  </si>
  <si>
    <t>備註</t>
    <rPh sb="0" eb="2">
      <t>ㄅㄟ</t>
    </rPh>
    <phoneticPr fontId="1"/>
  </si>
  <si>
    <t>原本是600題報價，因診斷問題概念多同於前測，所以解釋說明多可沿用，而將報價壓低至平均每題1分鐘。但撰寫第一稿（前測）需要的時間需要較長。</t>
    <rPh sb="0" eb="2">
      <t>ㄩㄢ</t>
    </rPh>
    <rPh sb="2" eb="3">
      <t>ㄕ</t>
    </rPh>
    <rPh sb="6" eb="9">
      <t>ㄊㄧ</t>
    </rPh>
    <rPh sb="10" eb="11">
      <t>ㄧㄣ</t>
    </rPh>
    <rPh sb="11" eb="13">
      <t>ㄓㄣ</t>
    </rPh>
    <rPh sb="13" eb="15">
      <t>ㄨㄣ</t>
    </rPh>
    <rPh sb="15" eb="17">
      <t>ㄍㄞ</t>
    </rPh>
    <rPh sb="17" eb="18">
      <t>ㄉㄨㄛ</t>
    </rPh>
    <rPh sb="18" eb="20">
      <t>ㄊㄨㄥ</t>
    </rPh>
    <rPh sb="20" eb="21">
      <t>ㄑㄧㄢ</t>
    </rPh>
    <rPh sb="21" eb="22">
      <t>ㄘㄜ</t>
    </rPh>
    <rPh sb="23" eb="25">
      <t>ㄙㄨㄛ</t>
    </rPh>
    <rPh sb="25" eb="28">
      <t>ㄐㄧㄝ</t>
    </rPh>
    <rPh sb="28" eb="29">
      <t>ㄇㄧㄥ</t>
    </rPh>
    <rPh sb="29" eb="33">
      <t>ㄉㄨㄛ</t>
    </rPh>
    <rPh sb="34" eb="35">
      <t>ㄦ</t>
    </rPh>
    <rPh sb="35" eb="38">
      <t>ㄐㄧㄤ</t>
    </rPh>
    <rPh sb="38" eb="40">
      <t>ㄧㄚ</t>
    </rPh>
    <rPh sb="40" eb="41">
      <t>ㄓ</t>
    </rPh>
    <rPh sb="41" eb="43">
      <t>ㄆㄧㄥ</t>
    </rPh>
    <rPh sb="43" eb="45">
      <t>ㄇㄟ</t>
    </rPh>
    <rPh sb="46" eb="48">
      <t>ㄈㄣ</t>
    </rPh>
    <rPh sb="49" eb="50">
      <t>ㄉㄢ</t>
    </rPh>
    <rPh sb="50" eb="52">
      <t>ㄓㄨㄢ</t>
    </rPh>
    <rPh sb="52" eb="55">
      <t>ㄉㄧ</t>
    </rPh>
    <rPh sb="56" eb="58">
      <t>ㄑㄧㄢ</t>
    </rPh>
    <rPh sb="59" eb="61">
      <t>ㄒㄩ</t>
    </rPh>
    <rPh sb="61" eb="62">
      <t>ㄉㄜ</t>
    </rPh>
    <rPh sb="62" eb="64">
      <t>ㄕ</t>
    </rPh>
    <rPh sb="64" eb="66">
      <t>ㄒㄩ</t>
    </rPh>
    <rPh sb="66" eb="68">
      <t>ㄐㄧㄠ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</si>
</sst>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0.0"/>
  </numFmts>
  <fonts count="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Microsoft JhengHei"/>
      <family val="2"/>
    </font>
    <font>
      <sz val="11"/>
      <color theme="1"/>
      <name val="微軟正黑體"/>
      <family val="2"/>
      <charset val="136"/>
    </font>
    <font>
      <sz val="11"/>
      <color theme="1"/>
      <name val="Microsoft JhengHei"/>
      <family val="2"/>
      <charset val="128"/>
    </font>
    <font>
      <sz val="11"/>
      <color theme="1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3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15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7" xfId="0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24" fontId="0" fillId="2" borderId="5" xfId="0" applyNumberFormat="1" applyFill="1" applyBorder="1" applyAlignment="1">
      <alignment horizontal="center" vertical="center"/>
    </xf>
    <xf numFmtId="24" fontId="0" fillId="2" borderId="6" xfId="0" applyNumberFormat="1" applyFill="1" applyBorder="1" applyAlignment="1">
      <alignment horizontal="center" vertical="center"/>
    </xf>
    <xf numFmtId="24" fontId="0" fillId="2" borderId="7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A860-C73D-4C6F-B839-5785622D9C96}">
  <dimension ref="A1:G4"/>
  <sheetViews>
    <sheetView tabSelected="1" topLeftCell="B1" zoomScale="150" workbookViewId="0">
      <selection activeCell="F6" sqref="F6"/>
    </sheetView>
  </sheetViews>
  <sheetFormatPr baseColWidth="10" defaultColWidth="8.83203125" defaultRowHeight="17"/>
  <cols>
    <col min="1" max="1" width="9" style="1"/>
    <col min="2" max="2" width="30.1640625" style="1" customWidth="1"/>
    <col min="3" max="3" width="17.83203125" style="1" customWidth="1"/>
    <col min="4" max="4" width="29.5" style="1" customWidth="1"/>
    <col min="5" max="5" width="19.6640625" style="1" customWidth="1"/>
    <col min="6" max="6" width="28.6640625" style="1" customWidth="1"/>
    <col min="7" max="7" width="44.1640625" customWidth="1"/>
  </cols>
  <sheetData>
    <row r="1" spans="1:7" s="22" customFormat="1" ht="18" thickBot="1">
      <c r="A1" s="40" t="s">
        <v>8</v>
      </c>
      <c r="B1" s="36" t="s">
        <v>9</v>
      </c>
      <c r="C1" s="31" t="s">
        <v>7</v>
      </c>
      <c r="D1" s="32" t="s">
        <v>11</v>
      </c>
      <c r="E1" s="33" t="s">
        <v>12</v>
      </c>
      <c r="F1" s="34" t="s">
        <v>10</v>
      </c>
      <c r="G1" s="35" t="s">
        <v>17</v>
      </c>
    </row>
    <row r="2" spans="1:7" s="22" customFormat="1" ht="72" customHeight="1">
      <c r="A2" s="41">
        <v>1</v>
      </c>
      <c r="B2" s="37" t="s">
        <v>16</v>
      </c>
      <c r="C2" s="19">
        <v>200</v>
      </c>
      <c r="D2" s="19">
        <v>1.5</v>
      </c>
      <c r="E2" s="19">
        <f>C2*D2</f>
        <v>300</v>
      </c>
      <c r="F2" s="20">
        <f>E2/60</f>
        <v>5</v>
      </c>
      <c r="G2" s="21" t="s">
        <v>18</v>
      </c>
    </row>
    <row r="3" spans="1:7" s="22" customFormat="1" ht="18" thickBot="1">
      <c r="A3" s="42">
        <v>2</v>
      </c>
      <c r="B3" s="38" t="s">
        <v>15</v>
      </c>
      <c r="C3" s="23">
        <v>644</v>
      </c>
      <c r="D3" s="23">
        <v>0.5</v>
      </c>
      <c r="E3" s="23">
        <f>C3*D3</f>
        <v>322</v>
      </c>
      <c r="F3" s="24">
        <f>E3/60</f>
        <v>5.3666666666666663</v>
      </c>
      <c r="G3" s="25"/>
    </row>
    <row r="4" spans="1:7" s="22" customFormat="1" ht="18" thickBot="1">
      <c r="A4" s="43" t="s">
        <v>0</v>
      </c>
      <c r="B4" s="39">
        <v>600</v>
      </c>
      <c r="C4" s="26" t="s">
        <v>13</v>
      </c>
      <c r="D4" s="27">
        <f>B4*(F2+F3)</f>
        <v>6220</v>
      </c>
      <c r="E4" s="28"/>
      <c r="F4" s="29"/>
      <c r="G4" s="30"/>
    </row>
  </sheetData>
  <mergeCells count="1">
    <mergeCell ref="D4:F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9FA27-8345-455E-AD21-37A94F13F3A9}">
  <dimension ref="A1:F8"/>
  <sheetViews>
    <sheetView zoomScale="132" workbookViewId="0">
      <selection activeCell="B13" sqref="B13"/>
    </sheetView>
  </sheetViews>
  <sheetFormatPr baseColWidth="10" defaultColWidth="8.83203125" defaultRowHeight="17"/>
  <cols>
    <col min="1" max="1" width="9" style="1"/>
    <col min="2" max="2" width="30" style="1" customWidth="1"/>
    <col min="3" max="3" width="65.5" style="1" customWidth="1"/>
    <col min="4" max="4" width="15.83203125" style="1" customWidth="1"/>
    <col min="5" max="5" width="16.1640625" style="1" customWidth="1"/>
    <col min="6" max="6" width="15.1640625" style="1" customWidth="1"/>
  </cols>
  <sheetData>
    <row r="1" spans="1:6" ht="18" thickBot="1">
      <c r="A1" s="12" t="s">
        <v>4</v>
      </c>
      <c r="B1" s="3" t="s">
        <v>5</v>
      </c>
      <c r="C1" s="4" t="s">
        <v>6</v>
      </c>
      <c r="D1" s="5" t="s">
        <v>1</v>
      </c>
      <c r="E1" s="5" t="s">
        <v>2</v>
      </c>
      <c r="F1" s="11" t="s">
        <v>3</v>
      </c>
    </row>
    <row r="2" spans="1:6">
      <c r="A2" s="13">
        <v>1</v>
      </c>
      <c r="B2" s="6" t="s">
        <v>16</v>
      </c>
      <c r="C2" s="2"/>
      <c r="D2" s="8">
        <v>3</v>
      </c>
      <c r="E2" s="9">
        <v>46146</v>
      </c>
      <c r="F2" s="10">
        <f>E2+D2</f>
        <v>46149</v>
      </c>
    </row>
    <row r="3" spans="1:6" ht="18" thickBot="1">
      <c r="A3" s="45">
        <v>2</v>
      </c>
      <c r="B3" s="44" t="s">
        <v>15</v>
      </c>
      <c r="C3" s="15"/>
      <c r="D3" s="16">
        <v>3</v>
      </c>
      <c r="E3" s="17">
        <v>46150</v>
      </c>
      <c r="F3" s="18">
        <f>E3+D3</f>
        <v>46153</v>
      </c>
    </row>
    <row r="4" spans="1:6">
      <c r="D4" s="7"/>
    </row>
    <row r="5" spans="1:6">
      <c r="A5" s="14" t="s">
        <v>14</v>
      </c>
      <c r="B5" s="14"/>
      <c r="C5" s="14"/>
      <c r="D5" s="14"/>
      <c r="E5" s="14"/>
      <c r="F5" s="14"/>
    </row>
    <row r="6" spans="1:6">
      <c r="A6" s="14"/>
      <c r="B6" s="14"/>
      <c r="C6" s="14"/>
      <c r="D6" s="14"/>
      <c r="E6" s="14"/>
      <c r="F6" s="14"/>
    </row>
    <row r="7" spans="1:6">
      <c r="A7" s="14"/>
      <c r="B7" s="14"/>
      <c r="C7" s="14"/>
      <c r="D7" s="14"/>
      <c r="E7" s="14"/>
      <c r="F7" s="14"/>
    </row>
    <row r="8" spans="1:6">
      <c r="A8" s="14"/>
      <c r="B8" s="14"/>
      <c r="C8" s="14"/>
      <c r="D8" s="14"/>
      <c r="E8" s="14"/>
      <c r="F8" s="14"/>
    </row>
  </sheetData>
  <mergeCells count="1">
    <mergeCell ref="A5:F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預計製作內容規劃及報價</vt:lpstr>
      <vt:lpstr>製作期程規畫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HSHS</dc:creator>
  <cp:lastModifiedBy>嘉展 張</cp:lastModifiedBy>
  <dcterms:created xsi:type="dcterms:W3CDTF">2015-06-05T18:19:34Z</dcterms:created>
  <dcterms:modified xsi:type="dcterms:W3CDTF">2026-04-29T21:57:58Z</dcterms:modified>
</cp:coreProperties>
</file>